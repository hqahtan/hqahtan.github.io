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kj\surfdrive\UD\Teaching\INFOMDWR\infomdwr\assignments\"/>
    </mc:Choice>
  </mc:AlternateContent>
  <xr:revisionPtr revIDLastSave="0" documentId="13_ncr:1_{E1E563D6-D978-4D6D-86FA-1E6F0F328AEB}" xr6:coauthVersionLast="47" xr6:coauthVersionMax="47" xr10:uidLastSave="{00000000-0000-0000-0000-000000000000}"/>
  <bookViews>
    <workbookView xWindow="-98" yWindow="-98" windowWidth="28996" windowHeight="17475" tabRatio="500" activeTab="1" xr2:uid="{00000000-000D-0000-FFFF-FFFF00000000}"/>
  </bookViews>
  <sheets>
    <sheet name="Blad1" sheetId="1" r:id="rId1"/>
    <sheet name="Sheet1" sheetId="2" r:id="rId2"/>
    <sheet name="Sheet3" sheetId="4" r:id="rId3"/>
    <sheet name="Sheet2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4" i="2" l="1"/>
  <c r="N4" i="2" s="1"/>
  <c r="F5" i="2"/>
  <c r="N5" i="2" s="1"/>
  <c r="F6" i="2"/>
  <c r="N6" i="2" s="1"/>
  <c r="F7" i="2"/>
  <c r="N7" i="2" s="1"/>
  <c r="F8" i="2"/>
  <c r="N8" i="2" s="1"/>
  <c r="F3" i="2"/>
  <c r="N3" i="2" s="1"/>
  <c r="N10" i="2" s="1"/>
  <c r="B23" i="1"/>
  <c r="B38" i="1"/>
  <c r="C23" i="1"/>
  <c r="A37" i="1"/>
  <c r="A36" i="1"/>
  <c r="A35" i="1"/>
  <c r="B31" i="1"/>
  <c r="A30" i="1"/>
  <c r="A29" i="1"/>
  <c r="A28" i="1"/>
  <c r="A27" i="1"/>
  <c r="A22" i="1"/>
  <c r="A21" i="1"/>
  <c r="A20" i="1"/>
  <c r="A19" i="1"/>
  <c r="B11" i="1" l="1"/>
</calcChain>
</file>

<file path=xl/sharedStrings.xml><?xml version="1.0" encoding="utf-8"?>
<sst xmlns="http://schemas.openxmlformats.org/spreadsheetml/2006/main" count="187" uniqueCount="165">
  <si>
    <t>Team information</t>
  </si>
  <si>
    <t>Team Id</t>
  </si>
  <si>
    <t>Graded by</t>
  </si>
  <si>
    <t>#Stud.</t>
  </si>
  <si>
    <t>Student ID</t>
  </si>
  <si>
    <t>Name</t>
  </si>
  <si>
    <t>Grade:</t>
  </si>
  <si>
    <t>Achieved points in total (out of 10)</t>
  </si>
  <si>
    <t>Penalty/Bonus</t>
  </si>
  <si>
    <t>+/- Points</t>
  </si>
  <si>
    <t>Min</t>
  </si>
  <si>
    <t>Max.</t>
  </si>
  <si>
    <t>Task1: Database (re)design</t>
  </si>
  <si>
    <t>1.A</t>
  </si>
  <si>
    <t>Relations branch, customer, and loan are extended at least one more attribute (-0.1 for each relation)</t>
  </si>
  <si>
    <t>1.B</t>
  </si>
  <si>
    <t>The added relations represent real world entities such as transaction, account etc. (not relationships -0.25 for each relation)</t>
  </si>
  <si>
    <t>1.C</t>
  </si>
  <si>
    <t xml:space="preserve">The diagram shows the schema clearly with boxes for the different tables (relations) and the primary-keys and foreign keys are represented with arrows clearly. </t>
  </si>
  <si>
    <t xml:space="preserve">Listed all the relationships between the different entities, mentioned the cardinality (1-1, 1-many, many -1 or many-many)  and explained why each relationship has the specified cardinality. If we have 5 entities, we expect a minimum of 4 relationships. </t>
  </si>
  <si>
    <t>All the primary keys and foreign keys are listed similar to what we did in Lab 3</t>
  </si>
  <si>
    <t xml:space="preserve">The code creates all the table. Primary key foreign key are defined </t>
  </si>
  <si>
    <t xml:space="preserve">The relation is specified and mentioned if it is in BCNF or not (-0.25), correct and good reasoning (-0.25). </t>
  </si>
  <si>
    <t>SUM</t>
  </si>
  <si>
    <t>Remarks and hints for improvement of Task 1:</t>
  </si>
  <si>
    <t>Task2: Querying the database</t>
  </si>
  <si>
    <t>The query is written in natural language correctly and makes sense (-0.3 for each wrong query).</t>
  </si>
  <si>
    <t>The query is translated into relational algebra correctly  (-0.3 for each wrong query).</t>
  </si>
  <si>
    <t>The query is translated into SQL correctly  (-0.3 for each wrong query).</t>
  </si>
  <si>
    <t>The query runs correctly and returns correct results. The data in the tables is good enough to test the query (-0.1 each).</t>
  </si>
  <si>
    <t>Remarks and hints for improvement of Task 2:</t>
  </si>
  <si>
    <t>Task3: Data extraction and entity resolution using Python</t>
  </si>
  <si>
    <t>The code is available from the lab exercises. The student used the code correctly.</t>
  </si>
  <si>
    <t>The query works and returns the results correctly.</t>
  </si>
  <si>
    <t xml:space="preserve">The similarity is computed using jaccard, Sørensen, Tversky or Overlap. There a clear description of the steps. </t>
  </si>
  <si>
    <t>Remarks and hints for improvement of Task 3:</t>
  </si>
  <si>
    <t>Code quality</t>
  </si>
  <si>
    <t>Content</t>
  </si>
  <si>
    <t>Performance</t>
  </si>
  <si>
    <t>Model comparison</t>
  </si>
  <si>
    <t>Prediction performance</t>
  </si>
  <si>
    <t>Grade</t>
  </si>
  <si>
    <t>Feedback</t>
  </si>
  <si>
    <t>Data description &amp; exploration</t>
  </si>
  <si>
    <t>Model description &amp; pre-processing</t>
  </si>
  <si>
    <t>Model selection / conclusion</t>
  </si>
  <si>
    <t xml:space="preserve">Names: </t>
  </si>
  <si>
    <t>Weight</t>
  </si>
  <si>
    <t>The assignment is clearly insufficient</t>
  </si>
  <si>
    <t>The assignment is sufficient, but has shortcomings</t>
  </si>
  <si>
    <t>The assignment is good</t>
  </si>
  <si>
    <t>The assignment is perfect</t>
  </si>
  <si>
    <t>Data Processing</t>
  </si>
  <si>
    <t>Quality of the data pre-processing</t>
  </si>
  <si>
    <t xml:space="preserve">Data was not pre-processed, or data was not pre-processed relevantly. </t>
  </si>
  <si>
    <t xml:space="preserve">Data was pre-processed but not completely or fully relevant. </t>
  </si>
  <si>
    <t xml:space="preserve">Data was pre-processed sufficiently before being used within the Application. A majority of the pre-processing was relevant to the purpose and description of the application. </t>
  </si>
  <si>
    <t>Data was clearly pre-processed before being used within the Shiny Application. All pre-processing was relevant, with respect to the purpose and description of the application</t>
  </si>
  <si>
    <t xml:space="preserve">Quality of making interactive data selection within the application </t>
  </si>
  <si>
    <t xml:space="preserve">The application has no interactive data selection component within the application. </t>
  </si>
  <si>
    <t xml:space="preserve">Data interactive selection within the application is limited but a majority of it is relevant. </t>
  </si>
  <si>
    <t>The data interactive selection within the application is relevant, and effectively completed.</t>
  </si>
  <si>
    <t xml:space="preserve">The application clearly and relevantly interactively creates a subselection of the data, provided through the interactive components. </t>
  </si>
  <si>
    <t>Shiny Application</t>
  </si>
  <si>
    <t xml:space="preserve">Quality and Apropriateness of Shiny (reactive/interactive) components </t>
  </si>
  <si>
    <t>The provided shiny components do not work with the data and analysis presented. (Eg: The application regularly crashes or displays an error)</t>
  </si>
  <si>
    <t xml:space="preserve">A majority of the shiny components work well (with acceptance of occasional/minimal errors). And/or more than/less than 3/6 components. </t>
  </si>
  <si>
    <t>A majority to all shiny components work well and are aproporiate for the data set and analysis conducted. Errors or Crashes are accepted only when feedback is provided by the application.</t>
  </si>
  <si>
    <t>A range of well working and appropriate shiny components are used, each with a clear purpose and function and how/why it influences the components it is linked to. Extended examples include user specified inputs, with responsive answers.</t>
  </si>
  <si>
    <t>Quality and Appropriateness of Shiny Outputs (Graphics)</t>
  </si>
  <si>
    <t>The Graphical output of the shiny application is not relevant to the application; and clearly does not work or consistently (&gt;50%) produces errors.</t>
  </si>
  <si>
    <t>The Graphical output of the shiny application is relevant to the application; with minimal instances of errors. And/or more than 2 graphs are provided.</t>
  </si>
  <si>
    <t>The graphical output is clearly linked to the purpose and description of the application; with minimal or no errors, where errors occur relevant error messages are provided.</t>
  </si>
  <si>
    <t xml:space="preserve">The graphical output is extremely relevant and connected to the purpose and description of the application; these graphics stand alone within the application. </t>
  </si>
  <si>
    <t>Quality and Appropriateness of Shiny Outputs (Text/Tables)</t>
  </si>
  <si>
    <t xml:space="preserve">The reactive text/table included is not relevant to the analysis conducted </t>
  </si>
  <si>
    <t xml:space="preserve">Some Reactive text or  a table is included which is linked to the statistical analysis conducted. Which provides sufficient output a majority of the time (&gt;50%). </t>
  </si>
  <si>
    <t xml:space="preserve">Clear reactive text &amp; a table are included which are sufficiently linked to the statistical analysis conducted, with minimal or no errors occuring. These outputs can be clearly understood by the user. </t>
  </si>
  <si>
    <t xml:space="preserve">Reactive text &amp; table are included which are clearly linked to the statistical analysis conducted. This includes a user-specified component as to what they would like to be presented with. </t>
  </si>
  <si>
    <t>Statistical Component(s)</t>
  </si>
  <si>
    <t>Quality and Apropriateness of the Statistical Analysis conducted</t>
  </si>
  <si>
    <t xml:space="preserve">No statistical analysis is used, or a statistical analysis which is not taught during thie course. </t>
  </si>
  <si>
    <t xml:space="preserve">One or more statistical component(s) are attempted, which are not relevant to the data set used or does not fit with the description/title. </t>
  </si>
  <si>
    <t xml:space="preserve">One or more interactive statistical compontents/analyses are used, which are relevant to the data and description provided. </t>
  </si>
  <si>
    <t>Multiple clear and interactive statistical components/analysis are used within the application which are clearly relevant to the data and purpose of the application</t>
  </si>
  <si>
    <t>Quality and Apropriateness of the reporting of Statistical Analysis</t>
  </si>
  <si>
    <t xml:space="preserve">The statistical results are not reported. </t>
  </si>
  <si>
    <t xml:space="preserve">Of the statistical results reported, a majority meet these criteria: Not relevant to the methods used or description provided; Not accurately reported (more than 4d.p or in a relevant reporting style (APA); </t>
  </si>
  <si>
    <t>All statistical components are reported, including some which are not relevant, and/or reporting is not completed in a relevant reporting style (APA for example). There is no/only a limited interpretation of the results provided.</t>
  </si>
  <si>
    <t xml:space="preserve">All relevant statistical components are reported in an interactive way for tha analysis conducted. Reporting is completed in a relevant reporting style (APA for example). In addition to these results being sufficiently interpreted. </t>
  </si>
  <si>
    <t xml:space="preserve">Other </t>
  </si>
  <si>
    <r>
      <t xml:space="preserve">Quality of the </t>
    </r>
    <r>
      <rPr>
        <b/>
        <i/>
        <sz val="12"/>
        <color theme="1"/>
        <rFont val="Calibri"/>
        <family val="2"/>
        <scheme val="minor"/>
      </rPr>
      <t>R code</t>
    </r>
  </si>
  <si>
    <t>The R code is messy, and/or not annotated, and/or not reproducable</t>
  </si>
  <si>
    <t>The R code is reproducalbe but lacks a clear structure and/or is not annotated</t>
  </si>
  <si>
    <t>The R code is reproducable, has a structe and is annotated, and mostly follows the guidelines as described in R for datascience</t>
  </si>
  <si>
    <t>The R code is reproducable, has a clear structe and is annotated, and follows the guidelines as described in R for datascience</t>
  </si>
  <si>
    <r>
      <rPr>
        <b/>
        <i/>
        <sz val="12"/>
        <color theme="1"/>
        <rFont val="Calibri"/>
        <family val="2"/>
        <scheme val="minor"/>
      </rPr>
      <t>Overall quality</t>
    </r>
    <r>
      <rPr>
        <sz val="11"/>
        <color rgb="FF000000"/>
        <rFont val="Arial"/>
        <charset val="1"/>
      </rPr>
      <t xml:space="preserve"> Shiny Application; </t>
    </r>
  </si>
  <si>
    <t>The Application has no clear structure, with no Title or Description</t>
  </si>
  <si>
    <t>The Application has some sense of a structure, has a title and/or description however is not clear</t>
  </si>
  <si>
    <t xml:space="preserve">The Application is presented with a clear title and/or description, making the application stand-alone </t>
  </si>
  <si>
    <t>The Application is presented with a clear title and description; in addition to being stand-alone and evident of its purpose and use.</t>
  </si>
  <si>
    <t xml:space="preserve">Additional remarks, strengths and/or weaknesses </t>
  </si>
  <si>
    <t xml:space="preserve"> + or -</t>
  </si>
  <si>
    <t>Comments</t>
  </si>
  <si>
    <t xml:space="preserve">Overall grade: </t>
  </si>
  <si>
    <t>subweight</t>
  </si>
  <si>
    <t>categoryweight</t>
  </si>
  <si>
    <t>item</t>
  </si>
  <si>
    <t>The R code is messy, and/or not annotated, and/or not reproducible</t>
  </si>
  <si>
    <t>The R code is reproducible but lacks a clear structure and/or is not annotated</t>
  </si>
  <si>
    <t>The R code is reproducible, has a clear structure and is annotated, with (almost) no improvements possible</t>
  </si>
  <si>
    <t>The R code is reproducible, has a structure and is annotated. Some improvements still possible</t>
  </si>
  <si>
    <t>Data was not described clearly and the visualization is lacking or irrelevant</t>
  </si>
  <si>
    <t>The data is described clearly and concisely, exploration provides context for the report, and visualization is present and relevant and adheres to principles</t>
  </si>
  <si>
    <t>The data is described clearly and concisely, the data exploration provides some context, and the visualization is present and relevant but improvement is possible.</t>
  </si>
  <si>
    <t>The data was described, data exploration was done, and the visualization is there. The description, exploration, and visualization can clearly be improved or they are unrelated.</t>
  </si>
  <si>
    <t>**Category**</t>
  </si>
  <si>
    <t>**Category Weight**</t>
  </si>
  <si>
    <t>**Sub-weight**</t>
  </si>
  <si>
    <t>**Item**</t>
  </si>
  <si>
    <t>**Weight**</t>
  </si>
  <si>
    <t>**The assignment is clearly insufficient**</t>
  </si>
  <si>
    <t>**The assignment is sufficient, but has shortcomings**</t>
  </si>
  <si>
    <t>**The assignment is good**</t>
  </si>
  <si>
    <t>**The assignment is perfect**</t>
  </si>
  <si>
    <t>**Code quality**</t>
  </si>
  <si>
    <t>**Content**</t>
  </si>
  <si>
    <t>Data was not described clearly and the visualization is lacking</t>
  </si>
  <si>
    <t>The data was described, data exploration was done, and the visualization is there. The description, exploration, and visualization can clearly be improved or they are unrelated</t>
  </si>
  <si>
    <t>The data is described clearly and concisely, the data exploration provides some context, and the visualization is present and relevant but improvement is possible</t>
  </si>
  <si>
    <t>Model isn't accurately described, and there's a lack of data pre-processing techniques mentioned</t>
  </si>
  <si>
    <t>Model is described in basic terms, and some pre-processing techniques are mentioned but not detailed</t>
  </si>
  <si>
    <t>Model is described with detail and the pre-processing steps are outlined with clarity</t>
  </si>
  <si>
    <t>Model is exhaustively described and the pre-processing techniques used are best practices and innovatively applied</t>
  </si>
  <si>
    <t>Models are not compared or the comparison lacks depth and clarity</t>
  </si>
  <si>
    <t>Models are compared but the criteria are not well-defined or lack depth</t>
  </si>
  <si>
    <t>Models are compared using clear criteria, with some insights on their performance</t>
  </si>
  <si>
    <t>Comprehensive model comparison with a deep understanding of their strengths and weaknesses, leading to a well-justified choice</t>
  </si>
  <si>
    <t>No clear model selection rationale or conclusion provided</t>
  </si>
  <si>
    <t>Model selection is present but the rationale is not well-explained</t>
  </si>
  <si>
    <t>Clear model selection with a well-defined rationale but conclusion lacks depth</t>
  </si>
  <si>
    <t>Model selection is insightful with a well-justified rationale, and the conclusion provides future recommendations</t>
  </si>
  <si>
    <t>**Performance**</t>
  </si>
  <si>
    <t>Predictions are inaccurate with high errors or no performance metrics provided</t>
  </si>
  <si>
    <t>Predictions are somewhat accurate, but lacks comprehensive performance metrics</t>
  </si>
  <si>
    <t>Predictions are accurate with some performance metrics provided and discussed</t>
  </si>
  <si>
    <t>Predictions are highly accurate, and all performance metrics are provided, discussed, and compared to benchmarks</t>
  </si>
  <si>
    <t>Models are not accurately described. Pre-processing steps are clearly incorrect</t>
  </si>
  <si>
    <t>Model is described in basic terms, and some pre-processing techniques are mentioned but detail is lacking, the writing is not concise, and/or there are some minor mistakes</t>
  </si>
  <si>
    <t>Model is described with detail and the pre-processing steps are outlined with clarity and conciseness</t>
  </si>
  <si>
    <t>Model comparison is absent or clearly faulty (i.e., will with high likelihood lead to the wrong selected model)</t>
  </si>
  <si>
    <t>Model comparison is broadly correct, but some mistakes remain (e.g., information leakage or unclear criteria) OR the writing is unclear / inconcise</t>
  </si>
  <si>
    <t>Model comparison is correct, complete, and written in a clear and concise way</t>
  </si>
  <si>
    <t>Comprehensive model comparison showing a deep understanding of their strengths and weaknesses, written clearly and concisely</t>
  </si>
  <si>
    <t>No clear model selection rationale or conclusion provided, or model comparison incorrectly applied to lead to a selected model</t>
  </si>
  <si>
    <t>Model selection &amp; conclusion are present but not well-explained or information is missing</t>
  </si>
  <si>
    <t>Clear, concise model selection section in line with the model comparison section, with all required information outlined</t>
  </si>
  <si>
    <t>Everything from before, but also showing deep understanding of the limits of model selection (e.g., sampling variance)</t>
  </si>
  <si>
    <t>Predictions are worse than trivial baseline</t>
  </si>
  <si>
    <t>Predictions are slightly better than trivial baseline</t>
  </si>
  <si>
    <t>Predictions are accurate and outperform simple models</t>
  </si>
  <si>
    <t>Predictions are as good/better than our well-performing baseline</t>
  </si>
  <si>
    <t>The R code is reproducible, has a structure, and is annotated. Some improvements still possible</t>
  </si>
  <si>
    <t>Category</t>
  </si>
  <si>
    <t>partial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</si>
</sst>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rgb="FF000000"/>
      <name val="Arial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2060"/>
      <name val="Calibri"/>
      <family val="2"/>
    </font>
    <font>
      <b/>
      <sz val="14"/>
      <color rgb="FF000000"/>
      <name val="Calibri"/>
      <family val="2"/>
    </font>
    <font>
      <b/>
      <i/>
      <sz val="11"/>
      <color rgb="FF708090"/>
      <name val="Calibri"/>
      <family val="2"/>
    </font>
    <font>
      <i/>
      <sz val="11"/>
      <color rgb="FF70809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theme="0" tint="-0.499984740745262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rgb="FF92D05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E599"/>
        <bgColor rgb="FFFFFF99"/>
      </patternFill>
    </fill>
    <fill>
      <patternFill patternType="solid">
        <fgColor rgb="FFFFFFE0"/>
        <bgColor rgb="FFFFFFFF"/>
      </patternFill>
    </fill>
    <fill>
      <patternFill patternType="solid">
        <fgColor rgb="FF00FF7F"/>
        <bgColor rgb="FF00FFFF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2" fontId="2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right" vertical="center" wrapText="1"/>
    </xf>
    <xf numFmtId="0" fontId="1" fillId="0" borderId="2" xfId="0" applyFont="1" applyBorder="1" applyAlignment="1">
      <alignment horizontal="center" vertical="center" wrapText="1"/>
    </xf>
    <xf numFmtId="164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2" fontId="6" fillId="0" borderId="0" xfId="0" applyNumberFormat="1" applyFont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2" fontId="6" fillId="0" borderId="0" xfId="0" applyNumberFormat="1" applyFont="1" applyAlignment="1">
      <alignment horizontal="right" vertical="center" wrapText="1"/>
    </xf>
    <xf numFmtId="0" fontId="1" fillId="2" borderId="5" xfId="0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right" vertical="center" wrapText="1"/>
    </xf>
    <xf numFmtId="2" fontId="3" fillId="4" borderId="1" xfId="0" applyNumberFormat="1" applyFont="1" applyFill="1" applyBorder="1" applyAlignment="1">
      <alignment horizontal="right" vertical="center" wrapText="1"/>
    </xf>
    <xf numFmtId="2" fontId="1" fillId="0" borderId="0" xfId="0" applyNumberFormat="1" applyFont="1" applyAlignment="1">
      <alignment horizontal="right" vertical="center" wrapText="1"/>
    </xf>
    <xf numFmtId="2" fontId="3" fillId="0" borderId="1" xfId="0" applyNumberFormat="1" applyFont="1" applyBorder="1" applyAlignment="1">
      <alignment horizontal="right" vertical="center" wrapText="1"/>
    </xf>
    <xf numFmtId="0" fontId="7" fillId="0" borderId="0" xfId="0" applyFont="1"/>
    <xf numFmtId="0" fontId="7" fillId="0" borderId="0" xfId="0" applyFont="1" applyAlignment="1">
      <alignment horizontal="center" vertical="top"/>
    </xf>
    <xf numFmtId="0" fontId="8" fillId="5" borderId="0" xfId="0" applyFont="1" applyFill="1"/>
    <xf numFmtId="0" fontId="7" fillId="0" borderId="12" xfId="0" applyFont="1" applyBorder="1"/>
    <xf numFmtId="0" fontId="7" fillId="0" borderId="12" xfId="0" applyFont="1" applyBorder="1" applyAlignment="1">
      <alignment horizontal="center" vertical="top" wrapText="1"/>
    </xf>
    <xf numFmtId="0" fontId="8" fillId="5" borderId="12" xfId="0" applyFont="1" applyFill="1" applyBorder="1" applyAlignment="1">
      <alignment wrapText="1"/>
    </xf>
    <xf numFmtId="0" fontId="7" fillId="5" borderId="0" xfId="0" applyFont="1" applyFill="1" applyAlignment="1">
      <alignment horizontal="center" vertical="top" wrapText="1"/>
    </xf>
    <xf numFmtId="0" fontId="8" fillId="5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9" fontId="9" fillId="5" borderId="0" xfId="0" applyNumberFormat="1" applyFont="1" applyFill="1" applyAlignment="1">
      <alignment horizontal="center" vertical="center"/>
    </xf>
    <xf numFmtId="0" fontId="7" fillId="0" borderId="0" xfId="0" applyFont="1" applyAlignment="1">
      <alignment vertical="top" wrapText="1"/>
    </xf>
    <xf numFmtId="0" fontId="0" fillId="5" borderId="0" xfId="0" applyFill="1" applyAlignment="1">
      <alignment horizontal="left" vertical="top" wrapText="1"/>
    </xf>
    <xf numFmtId="0" fontId="0" fillId="0" borderId="12" xfId="0" applyBorder="1" applyAlignment="1">
      <alignment vertical="top" wrapText="1"/>
    </xf>
    <xf numFmtId="0" fontId="9" fillId="5" borderId="12" xfId="0" applyFont="1" applyFill="1" applyBorder="1" applyAlignment="1">
      <alignment horizontal="center" vertical="center"/>
    </xf>
    <xf numFmtId="0" fontId="0" fillId="0" borderId="12" xfId="0" applyBorder="1"/>
    <xf numFmtId="0" fontId="9" fillId="0" borderId="0" xfId="0" applyFont="1"/>
    <xf numFmtId="0" fontId="11" fillId="0" borderId="0" xfId="0" applyFont="1"/>
    <xf numFmtId="0" fontId="12" fillId="6" borderId="0" xfId="0" applyFont="1" applyFill="1"/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/>
    <xf numFmtId="0" fontId="13" fillId="0" borderId="1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top" wrapText="1"/>
    </xf>
    <xf numFmtId="0" fontId="2" fillId="3" borderId="10" xfId="0" applyFont="1" applyFill="1" applyBorder="1" applyAlignment="1">
      <alignment horizontal="left" vertical="top" wrapText="1"/>
    </xf>
    <xf numFmtId="0" fontId="2" fillId="3" borderId="11" xfId="0" applyFont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2" fontId="6" fillId="0" borderId="0" xfId="0" applyNumberFormat="1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7F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8090"/>
      <rgbColor rgb="FF9999FF"/>
      <rgbColor rgb="FF993366"/>
      <rgbColor rgb="FFFFFF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zoomScale="130" zoomScaleNormal="130" workbookViewId="0">
      <selection activeCell="E30" sqref="E30"/>
    </sheetView>
  </sheetViews>
  <sheetFormatPr defaultColWidth="12.625" defaultRowHeight="13.5" x14ac:dyDescent="0.35"/>
  <cols>
    <col min="1" max="1" width="6" customWidth="1"/>
    <col min="2" max="2" width="8.875" customWidth="1"/>
    <col min="3" max="3" width="6.625" customWidth="1"/>
    <col min="4" max="4" width="12.5" customWidth="1"/>
    <col min="5" max="5" width="96.125" customWidth="1"/>
  </cols>
  <sheetData>
    <row r="1" spans="1:5" ht="15" customHeight="1" x14ac:dyDescent="0.35">
      <c r="A1" s="74" t="s">
        <v>0</v>
      </c>
      <c r="B1" s="74"/>
      <c r="C1" s="74"/>
      <c r="D1" s="74"/>
      <c r="E1" s="74"/>
    </row>
    <row r="2" spans="1:5" ht="15" customHeight="1" x14ac:dyDescent="0.35">
      <c r="A2" s="75" t="s">
        <v>1</v>
      </c>
      <c r="B2" s="75"/>
      <c r="C2" s="76"/>
      <c r="D2" s="76"/>
      <c r="E2" s="2"/>
    </row>
    <row r="3" spans="1:5" ht="15" customHeight="1" x14ac:dyDescent="0.35">
      <c r="A3" s="75" t="s">
        <v>2</v>
      </c>
      <c r="B3" s="75"/>
      <c r="C3" s="72"/>
      <c r="D3" s="72"/>
      <c r="E3" s="2"/>
    </row>
    <row r="4" spans="1:5" ht="14.25" x14ac:dyDescent="0.35">
      <c r="A4" s="1"/>
      <c r="B4" s="3"/>
      <c r="C4" s="3"/>
      <c r="D4" s="3"/>
      <c r="E4" s="4"/>
    </row>
    <row r="5" spans="1:5" ht="15" customHeight="1" x14ac:dyDescent="0.35">
      <c r="A5" s="1" t="s">
        <v>3</v>
      </c>
      <c r="B5" s="5" t="s">
        <v>4</v>
      </c>
      <c r="C5" s="71" t="s">
        <v>5</v>
      </c>
      <c r="D5" s="71"/>
      <c r="E5" s="6"/>
    </row>
    <row r="6" spans="1:5" ht="20.100000000000001" customHeight="1" x14ac:dyDescent="0.35">
      <c r="A6" s="1">
        <v>1</v>
      </c>
      <c r="B6" s="7"/>
      <c r="C6" s="72"/>
      <c r="D6" s="72"/>
      <c r="E6" s="2"/>
    </row>
    <row r="7" spans="1:5" ht="20.100000000000001" customHeight="1" x14ac:dyDescent="0.35">
      <c r="A7" s="1">
        <v>2</v>
      </c>
      <c r="B7" s="7"/>
      <c r="C7" s="72"/>
      <c r="D7" s="72"/>
      <c r="E7" s="2"/>
    </row>
    <row r="8" spans="1:5" ht="20.100000000000001" customHeight="1" x14ac:dyDescent="0.35">
      <c r="A8" s="1">
        <v>3</v>
      </c>
      <c r="B8" s="7"/>
      <c r="C8" s="72"/>
      <c r="D8" s="72"/>
      <c r="E8" s="2"/>
    </row>
    <row r="9" spans="1:5" ht="20.100000000000001" customHeight="1" x14ac:dyDescent="0.35">
      <c r="A9" s="1">
        <v>4</v>
      </c>
      <c r="B9" s="7"/>
      <c r="C9" s="72"/>
      <c r="D9" s="72"/>
      <c r="E9" s="2"/>
    </row>
    <row r="10" spans="1:5" ht="14.25" x14ac:dyDescent="0.35">
      <c r="A10" s="1"/>
      <c r="B10" s="8"/>
      <c r="C10" s="9"/>
      <c r="D10" s="10"/>
      <c r="E10" s="4"/>
    </row>
    <row r="11" spans="1:5" ht="18" x14ac:dyDescent="0.35">
      <c r="A11" s="11" t="s">
        <v>6</v>
      </c>
      <c r="B11" s="12">
        <f>MIN(10,B23+B31+B38)</f>
        <v>10</v>
      </c>
      <c r="C11" s="3"/>
      <c r="D11" s="13"/>
      <c r="E11" s="4" t="s">
        <v>7</v>
      </c>
    </row>
    <row r="12" spans="1:5" ht="14.25" x14ac:dyDescent="0.35">
      <c r="A12" s="1"/>
      <c r="B12" s="8"/>
      <c r="C12" s="9"/>
      <c r="D12" s="10"/>
      <c r="E12" s="4"/>
    </row>
    <row r="13" spans="1:5" ht="15" customHeight="1" x14ac:dyDescent="0.35">
      <c r="A13" s="14"/>
      <c r="B13" s="15"/>
      <c r="C13" s="73" t="s">
        <v>8</v>
      </c>
      <c r="D13" s="73"/>
      <c r="E13" s="16"/>
    </row>
    <row r="14" spans="1:5" ht="14.25" x14ac:dyDescent="0.35">
      <c r="A14" s="17"/>
      <c r="B14" s="18" t="s">
        <v>9</v>
      </c>
      <c r="C14" s="18" t="s">
        <v>10</v>
      </c>
      <c r="D14" s="18" t="s">
        <v>11</v>
      </c>
      <c r="E14" s="16"/>
    </row>
    <row r="15" spans="1:5" ht="15" customHeight="1" x14ac:dyDescent="0.35">
      <c r="A15" s="19">
        <v>1</v>
      </c>
      <c r="B15" s="65" t="s">
        <v>12</v>
      </c>
      <c r="C15" s="65"/>
      <c r="D15" s="65"/>
      <c r="E15" s="65"/>
    </row>
    <row r="16" spans="1:5" ht="15.75" customHeight="1" x14ac:dyDescent="0.35">
      <c r="A16" s="1" t="s">
        <v>13</v>
      </c>
      <c r="B16" s="23">
        <v>0</v>
      </c>
      <c r="C16" s="10">
        <v>-0.3</v>
      </c>
      <c r="D16" s="10">
        <v>0</v>
      </c>
      <c r="E16" s="4" t="s">
        <v>14</v>
      </c>
    </row>
    <row r="17" spans="1:5" ht="15.75" customHeight="1" x14ac:dyDescent="0.35">
      <c r="A17" s="1" t="s">
        <v>15</v>
      </c>
      <c r="B17" s="23">
        <v>0</v>
      </c>
      <c r="C17" s="10">
        <v>-0.5</v>
      </c>
      <c r="D17" s="10">
        <v>0</v>
      </c>
      <c r="E17" s="4" t="s">
        <v>16</v>
      </c>
    </row>
    <row r="18" spans="1:5" ht="34.049999999999997" customHeight="1" x14ac:dyDescent="0.35">
      <c r="A18" s="1" t="s">
        <v>17</v>
      </c>
      <c r="B18" s="23">
        <v>0</v>
      </c>
      <c r="C18" s="10">
        <v>-0.5</v>
      </c>
      <c r="D18" s="10">
        <v>0</v>
      </c>
      <c r="E18" s="4" t="s">
        <v>18</v>
      </c>
    </row>
    <row r="19" spans="1:5" ht="47.1" customHeight="1" x14ac:dyDescent="0.35">
      <c r="A19" s="1" t="str">
        <f>A$15&amp;"."&amp;CHAR(64+ROW(A19)-ROW(A$15))</f>
        <v>1.D</v>
      </c>
      <c r="B19" s="23">
        <v>0</v>
      </c>
      <c r="C19" s="10">
        <v>-0.7</v>
      </c>
      <c r="D19" s="10">
        <v>0</v>
      </c>
      <c r="E19" s="4" t="s">
        <v>19</v>
      </c>
    </row>
    <row r="20" spans="1:5" ht="15.75" customHeight="1" x14ac:dyDescent="0.35">
      <c r="A20" s="1" t="str">
        <f>A$15&amp;"."&amp;CHAR(64+ROW(A20)-ROW(A$15))</f>
        <v>1.E</v>
      </c>
      <c r="B20" s="23">
        <v>0</v>
      </c>
      <c r="C20" s="10">
        <v>-1</v>
      </c>
      <c r="D20" s="10">
        <v>0</v>
      </c>
      <c r="E20" s="4" t="s">
        <v>20</v>
      </c>
    </row>
    <row r="21" spans="1:5" ht="15.75" customHeight="1" x14ac:dyDescent="0.35">
      <c r="A21" s="1" t="str">
        <f>A$15&amp;"."&amp;CHAR(64+ROW(A21)-ROW(A$15))</f>
        <v>1.F</v>
      </c>
      <c r="B21" s="23">
        <v>0</v>
      </c>
      <c r="C21" s="10">
        <v>-1.5</v>
      </c>
      <c r="D21" s="10">
        <v>0</v>
      </c>
      <c r="E21" s="4" t="s">
        <v>21</v>
      </c>
    </row>
    <row r="22" spans="1:5" ht="15.75" customHeight="1" x14ac:dyDescent="0.35">
      <c r="A22" s="1" t="str">
        <f>A$15&amp;"."&amp;CHAR(64+ROW(A22)-ROW(A$15))</f>
        <v>1.G</v>
      </c>
      <c r="B22" s="23">
        <v>0</v>
      </c>
      <c r="C22" s="10">
        <v>-0.5</v>
      </c>
      <c r="D22" s="10">
        <v>0</v>
      </c>
      <c r="E22" s="4" t="s">
        <v>22</v>
      </c>
    </row>
    <row r="23" spans="1:5" ht="14.25" x14ac:dyDescent="0.35">
      <c r="A23" s="11" t="s">
        <v>23</v>
      </c>
      <c r="B23" s="22">
        <f>MAX(D23+SUM(B16:B22),0)</f>
        <v>5</v>
      </c>
      <c r="C23" s="10">
        <f>SUM(C16:C22)</f>
        <v>-5</v>
      </c>
      <c r="D23" s="10">
        <v>5</v>
      </c>
      <c r="E23" s="4"/>
    </row>
    <row r="24" spans="1:5" ht="15.75" customHeight="1" x14ac:dyDescent="0.35">
      <c r="A24" s="66" t="s">
        <v>24</v>
      </c>
      <c r="B24" s="66"/>
      <c r="C24" s="66"/>
      <c r="D24" s="66"/>
      <c r="E24" s="66"/>
    </row>
    <row r="25" spans="1:5" ht="41.85" customHeight="1" x14ac:dyDescent="0.35">
      <c r="A25" s="70"/>
      <c r="B25" s="70"/>
      <c r="C25" s="70"/>
      <c r="D25" s="70"/>
      <c r="E25" s="70"/>
    </row>
    <row r="26" spans="1:5" ht="15.75" customHeight="1" x14ac:dyDescent="0.35">
      <c r="A26" s="19">
        <v>2</v>
      </c>
      <c r="B26" s="65" t="s">
        <v>25</v>
      </c>
      <c r="C26" s="65"/>
      <c r="D26" s="65"/>
      <c r="E26" s="65"/>
    </row>
    <row r="27" spans="1:5" ht="15.75" customHeight="1" x14ac:dyDescent="0.35">
      <c r="A27" s="1" t="str">
        <f>A$26&amp;"."&amp;CHAR(64+ROW(A27)-ROW(A$26))</f>
        <v>2.A</v>
      </c>
      <c r="B27" s="20">
        <v>0</v>
      </c>
      <c r="C27" s="10">
        <v>-0.9</v>
      </c>
      <c r="D27" s="10">
        <v>0</v>
      </c>
      <c r="E27" s="4" t="s">
        <v>26</v>
      </c>
    </row>
    <row r="28" spans="1:5" ht="15.75" customHeight="1" x14ac:dyDescent="0.35">
      <c r="A28" s="1" t="str">
        <f>A$26&amp;"."&amp;CHAR(64+ROW(A28)-ROW(A$26))</f>
        <v>2.B</v>
      </c>
      <c r="B28" s="20">
        <v>0</v>
      </c>
      <c r="C28" s="10">
        <v>-0.9</v>
      </c>
      <c r="D28" s="10">
        <v>0</v>
      </c>
      <c r="E28" s="4" t="s">
        <v>27</v>
      </c>
    </row>
    <row r="29" spans="1:5" ht="15.75" customHeight="1" x14ac:dyDescent="0.35">
      <c r="A29" s="1" t="str">
        <f>A$26&amp;"."&amp;CHAR(64+ROW(A29)-ROW(A$26))</f>
        <v>2.C</v>
      </c>
      <c r="B29" s="20">
        <v>0</v>
      </c>
      <c r="C29" s="10">
        <v>-0.9</v>
      </c>
      <c r="D29" s="10">
        <v>0</v>
      </c>
      <c r="E29" s="4" t="s">
        <v>28</v>
      </c>
    </row>
    <row r="30" spans="1:5" ht="15.75" customHeight="1" x14ac:dyDescent="0.35">
      <c r="A30" s="1" t="str">
        <f>A$26&amp;"."&amp;CHAR(64+ROW(A30)-ROW(A$26))</f>
        <v>2.D</v>
      </c>
      <c r="B30" s="21">
        <v>0</v>
      </c>
      <c r="C30" s="10">
        <v>-0.3</v>
      </c>
      <c r="D30" s="10">
        <v>0</v>
      </c>
      <c r="E30" s="4" t="s">
        <v>29</v>
      </c>
    </row>
    <row r="31" spans="1:5" ht="15.75" customHeight="1" x14ac:dyDescent="0.35">
      <c r="A31" s="11" t="s">
        <v>23</v>
      </c>
      <c r="B31" s="22">
        <f>MAX(0,D31+(SUM(B27:B30)))</f>
        <v>3</v>
      </c>
      <c r="C31" s="10">
        <v>0</v>
      </c>
      <c r="D31" s="10">
        <v>3</v>
      </c>
      <c r="E31" s="4"/>
    </row>
    <row r="32" spans="1:5" ht="15.75" customHeight="1" x14ac:dyDescent="0.35">
      <c r="A32" s="66" t="s">
        <v>30</v>
      </c>
      <c r="B32" s="66"/>
      <c r="C32" s="66"/>
      <c r="D32" s="66"/>
      <c r="E32" s="66"/>
    </row>
    <row r="33" spans="1:5" ht="44.1" customHeight="1" x14ac:dyDescent="0.35">
      <c r="A33" s="70"/>
      <c r="B33" s="70"/>
      <c r="C33" s="70"/>
      <c r="D33" s="70"/>
      <c r="E33" s="70"/>
    </row>
    <row r="34" spans="1:5" ht="15.75" customHeight="1" x14ac:dyDescent="0.35">
      <c r="A34" s="19">
        <v>3</v>
      </c>
      <c r="B34" s="65" t="s">
        <v>31</v>
      </c>
      <c r="C34" s="65"/>
      <c r="D34" s="65"/>
      <c r="E34" s="65"/>
    </row>
    <row r="35" spans="1:5" ht="15.75" customHeight="1" x14ac:dyDescent="0.35">
      <c r="A35" s="1" t="str">
        <f>A$34&amp;"."&amp;CHAR(64+ROW(A35)-ROW(A$34))</f>
        <v>3.A</v>
      </c>
      <c r="B35" s="20">
        <v>0</v>
      </c>
      <c r="C35" s="10">
        <v>-0.5</v>
      </c>
      <c r="D35" s="10">
        <v>0</v>
      </c>
      <c r="E35" s="4" t="s">
        <v>32</v>
      </c>
    </row>
    <row r="36" spans="1:5" ht="15.75" customHeight="1" x14ac:dyDescent="0.35">
      <c r="A36" s="1" t="str">
        <f>A$34&amp;"."&amp;CHAR(64+ROW(A36)-ROW(A$34))</f>
        <v>3.B</v>
      </c>
      <c r="B36" s="20">
        <v>0</v>
      </c>
      <c r="C36" s="10">
        <v>-1</v>
      </c>
      <c r="D36" s="10">
        <v>0</v>
      </c>
      <c r="E36" s="4" t="s">
        <v>33</v>
      </c>
    </row>
    <row r="37" spans="1:5" ht="15.75" customHeight="1" x14ac:dyDescent="0.35">
      <c r="A37" s="1" t="str">
        <f>A$34&amp;"."&amp;CHAR(64+ROW(A37)-ROW(A$34))</f>
        <v>3.C</v>
      </c>
      <c r="B37" s="20">
        <v>0</v>
      </c>
      <c r="C37" s="10">
        <v>-0.5</v>
      </c>
      <c r="D37" s="10">
        <v>0</v>
      </c>
      <c r="E37" s="4" t="s">
        <v>34</v>
      </c>
    </row>
    <row r="38" spans="1:5" ht="15.75" customHeight="1" x14ac:dyDescent="0.35">
      <c r="A38" s="11" t="s">
        <v>23</v>
      </c>
      <c r="B38" s="22">
        <f>MAX(0,D38+(SUM(B35:B37)))</f>
        <v>2</v>
      </c>
      <c r="C38" s="10">
        <v>0</v>
      </c>
      <c r="D38" s="10">
        <v>2</v>
      </c>
      <c r="E38" s="4"/>
    </row>
    <row r="39" spans="1:5" ht="15.75" customHeight="1" x14ac:dyDescent="0.35">
      <c r="A39" s="66" t="s">
        <v>35</v>
      </c>
      <c r="B39" s="66"/>
      <c r="C39" s="66"/>
      <c r="D39" s="66"/>
      <c r="E39" s="66"/>
    </row>
    <row r="40" spans="1:5" ht="53.1" customHeight="1" thickBot="1" x14ac:dyDescent="0.4">
      <c r="A40" s="67"/>
      <c r="B40" s="68"/>
      <c r="C40" s="68"/>
      <c r="D40" s="68"/>
      <c r="E40" s="69"/>
    </row>
    <row r="41" spans="1:5" ht="13.9" thickTop="1" x14ac:dyDescent="0.35"/>
  </sheetData>
  <mergeCells count="20">
    <mergeCell ref="A1:E1"/>
    <mergeCell ref="A2:B2"/>
    <mergeCell ref="C2:D2"/>
    <mergeCell ref="A3:B3"/>
    <mergeCell ref="C3:D3"/>
    <mergeCell ref="C5:D5"/>
    <mergeCell ref="C8:D8"/>
    <mergeCell ref="C9:D9"/>
    <mergeCell ref="C13:D13"/>
    <mergeCell ref="B15:E15"/>
    <mergeCell ref="C6:D6"/>
    <mergeCell ref="C7:D7"/>
    <mergeCell ref="B34:E34"/>
    <mergeCell ref="A39:E39"/>
    <mergeCell ref="A40:E40"/>
    <mergeCell ref="A24:E24"/>
    <mergeCell ref="A25:E25"/>
    <mergeCell ref="B26:E26"/>
    <mergeCell ref="A32:E32"/>
    <mergeCell ref="A33:E33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BBCA3-4A39-4C18-A6E0-9FAB52DE6677}">
  <dimension ref="B1:N10"/>
  <sheetViews>
    <sheetView tabSelected="1" workbookViewId="0">
      <selection activeCell="P6" sqref="P6"/>
    </sheetView>
  </sheetViews>
  <sheetFormatPr defaultRowHeight="13.5" x14ac:dyDescent="0.35"/>
  <cols>
    <col min="2" max="2" width="11.4375" bestFit="1" customWidth="1"/>
    <col min="3" max="3" width="11.4375" hidden="1" customWidth="1"/>
    <col min="4" max="4" width="0" hidden="1" customWidth="1"/>
    <col min="5" max="5" width="18.3125" customWidth="1"/>
    <col min="7" max="10" width="26.3125" customWidth="1"/>
    <col min="12" max="12" width="49" customWidth="1"/>
  </cols>
  <sheetData>
    <row r="1" spans="2:14" ht="15.75" x14ac:dyDescent="0.35">
      <c r="B1" s="43"/>
      <c r="C1" s="43"/>
      <c r="D1" s="43"/>
      <c r="E1" s="43"/>
      <c r="F1" s="43"/>
      <c r="G1" s="44">
        <v>4</v>
      </c>
      <c r="H1" s="44">
        <v>6</v>
      </c>
      <c r="I1" s="44">
        <v>8</v>
      </c>
      <c r="J1" s="44">
        <v>10</v>
      </c>
    </row>
    <row r="2" spans="2:14" ht="31.5" x14ac:dyDescent="0.35">
      <c r="B2" s="58" t="s">
        <v>163</v>
      </c>
      <c r="C2" s="54" t="s">
        <v>106</v>
      </c>
      <c r="D2" s="54" t="s">
        <v>105</v>
      </c>
      <c r="E2" s="54" t="s">
        <v>107</v>
      </c>
      <c r="F2" s="55" t="s">
        <v>47</v>
      </c>
      <c r="G2" s="45" t="s">
        <v>48</v>
      </c>
      <c r="H2" s="45" t="s">
        <v>49</v>
      </c>
      <c r="I2" s="45" t="s">
        <v>50</v>
      </c>
      <c r="J2" s="45" t="s">
        <v>51</v>
      </c>
      <c r="K2" s="63" t="s">
        <v>41</v>
      </c>
      <c r="L2" s="64" t="s">
        <v>42</v>
      </c>
      <c r="N2" s="61" t="s">
        <v>164</v>
      </c>
    </row>
    <row r="3" spans="2:14" ht="54" x14ac:dyDescent="0.35">
      <c r="B3" s="58" t="s">
        <v>36</v>
      </c>
      <c r="C3" s="54">
        <v>0.2</v>
      </c>
      <c r="D3" s="54">
        <v>1</v>
      </c>
      <c r="E3" s="56" t="s">
        <v>36</v>
      </c>
      <c r="F3" s="55">
        <f t="shared" ref="F3:F8" si="0">D3*C3</f>
        <v>0.2</v>
      </c>
      <c r="G3" s="46" t="s">
        <v>108</v>
      </c>
      <c r="H3" s="46" t="s">
        <v>109</v>
      </c>
      <c r="I3" s="46" t="s">
        <v>162</v>
      </c>
      <c r="J3" s="46" t="s">
        <v>110</v>
      </c>
      <c r="K3" s="62"/>
      <c r="L3" s="62"/>
      <c r="N3" s="59">
        <f>K3*F3</f>
        <v>0</v>
      </c>
    </row>
    <row r="4" spans="2:14" ht="81" x14ac:dyDescent="0.35">
      <c r="B4" s="77" t="s">
        <v>37</v>
      </c>
      <c r="C4" s="47">
        <v>0.7</v>
      </c>
      <c r="D4" s="47">
        <v>0.2</v>
      </c>
      <c r="E4" s="57" t="s">
        <v>43</v>
      </c>
      <c r="F4" s="48">
        <f t="shared" si="0"/>
        <v>0.13999999999999999</v>
      </c>
      <c r="G4" s="46" t="s">
        <v>112</v>
      </c>
      <c r="H4" s="46" t="s">
        <v>115</v>
      </c>
      <c r="I4" s="46" t="s">
        <v>114</v>
      </c>
      <c r="J4" s="46" t="s">
        <v>113</v>
      </c>
      <c r="K4" s="62"/>
      <c r="L4" s="62"/>
      <c r="N4" s="59">
        <f t="shared" ref="N4:N8" si="1">K4*F4</f>
        <v>0</v>
      </c>
    </row>
    <row r="5" spans="2:14" ht="94.5" x14ac:dyDescent="0.35">
      <c r="B5" s="78"/>
      <c r="C5" s="43">
        <v>0.7</v>
      </c>
      <c r="D5" s="43">
        <v>0.35</v>
      </c>
      <c r="E5" s="49" t="s">
        <v>44</v>
      </c>
      <c r="F5" s="50">
        <f t="shared" si="0"/>
        <v>0.24499999999999997</v>
      </c>
      <c r="G5" s="46" t="s">
        <v>147</v>
      </c>
      <c r="H5" s="46" t="s">
        <v>148</v>
      </c>
      <c r="I5" s="46" t="s">
        <v>149</v>
      </c>
      <c r="J5" s="46" t="s">
        <v>133</v>
      </c>
      <c r="K5" s="62"/>
      <c r="L5" s="62"/>
      <c r="N5" s="59">
        <f t="shared" si="1"/>
        <v>0</v>
      </c>
    </row>
    <row r="6" spans="2:14" ht="81" x14ac:dyDescent="0.35">
      <c r="B6" s="78"/>
      <c r="C6" s="43">
        <v>0.7</v>
      </c>
      <c r="D6" s="43">
        <v>0.35</v>
      </c>
      <c r="E6" s="49" t="s">
        <v>39</v>
      </c>
      <c r="F6" s="50">
        <f t="shared" si="0"/>
        <v>0.24499999999999997</v>
      </c>
      <c r="G6" s="46" t="s">
        <v>150</v>
      </c>
      <c r="H6" s="46" t="s">
        <v>151</v>
      </c>
      <c r="I6" s="46" t="s">
        <v>152</v>
      </c>
      <c r="J6" s="46" t="s">
        <v>153</v>
      </c>
      <c r="K6" s="62"/>
      <c r="L6" s="62"/>
      <c r="N6" s="59">
        <f t="shared" si="1"/>
        <v>0</v>
      </c>
    </row>
    <row r="7" spans="2:14" ht="67.5" x14ac:dyDescent="0.35">
      <c r="B7" s="79"/>
      <c r="C7" s="51">
        <v>0.7</v>
      </c>
      <c r="D7" s="51">
        <v>0.1</v>
      </c>
      <c r="E7" s="52" t="s">
        <v>45</v>
      </c>
      <c r="F7" s="53">
        <f t="shared" si="0"/>
        <v>6.9999999999999993E-2</v>
      </c>
      <c r="G7" s="46" t="s">
        <v>154</v>
      </c>
      <c r="H7" s="46" t="s">
        <v>155</v>
      </c>
      <c r="I7" s="46" t="s">
        <v>156</v>
      </c>
      <c r="J7" s="46" t="s">
        <v>157</v>
      </c>
      <c r="K7" s="62"/>
      <c r="L7" s="62"/>
      <c r="N7" s="59">
        <f t="shared" si="1"/>
        <v>0</v>
      </c>
    </row>
    <row r="8" spans="2:14" ht="40.5" x14ac:dyDescent="0.35">
      <c r="B8" s="60" t="s">
        <v>38</v>
      </c>
      <c r="C8" s="51">
        <v>0.1</v>
      </c>
      <c r="D8" s="51">
        <v>1</v>
      </c>
      <c r="E8" s="52" t="s">
        <v>40</v>
      </c>
      <c r="F8" s="53">
        <f t="shared" si="0"/>
        <v>0.1</v>
      </c>
      <c r="G8" s="46" t="s">
        <v>158</v>
      </c>
      <c r="H8" s="46" t="s">
        <v>159</v>
      </c>
      <c r="I8" s="46" t="s">
        <v>160</v>
      </c>
      <c r="J8" s="46" t="s">
        <v>161</v>
      </c>
      <c r="K8" s="62"/>
      <c r="L8" s="62"/>
      <c r="N8" s="60">
        <f t="shared" si="1"/>
        <v>0</v>
      </c>
    </row>
    <row r="10" spans="2:14" ht="25.9" customHeight="1" x14ac:dyDescent="0.35">
      <c r="M10" s="63" t="s">
        <v>41</v>
      </c>
      <c r="N10" s="63">
        <f>SUM(N3:N8)</f>
        <v>0</v>
      </c>
    </row>
  </sheetData>
  <mergeCells count="1">
    <mergeCell ref="B4:B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5C1B8-AB39-4C1D-BB05-DE99B7CCA0BA}">
  <dimension ref="A1:I7"/>
  <sheetViews>
    <sheetView workbookViewId="0">
      <selection activeCell="F4" sqref="F4:I7"/>
    </sheetView>
  </sheetViews>
  <sheetFormatPr defaultRowHeight="13.5" x14ac:dyDescent="0.35"/>
  <sheetData>
    <row r="1" spans="1:9" x14ac:dyDescent="0.3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  <c r="I1" t="s">
        <v>124</v>
      </c>
    </row>
    <row r="2" spans="1:9" x14ac:dyDescent="0.35">
      <c r="A2" t="s">
        <v>125</v>
      </c>
      <c r="B2">
        <v>0.2</v>
      </c>
      <c r="C2">
        <v>1</v>
      </c>
      <c r="D2" t="s">
        <v>36</v>
      </c>
      <c r="E2">
        <v>0.2</v>
      </c>
      <c r="F2" t="s">
        <v>108</v>
      </c>
      <c r="G2" t="s">
        <v>109</v>
      </c>
      <c r="H2" t="s">
        <v>111</v>
      </c>
      <c r="I2" t="s">
        <v>110</v>
      </c>
    </row>
    <row r="3" spans="1:9" x14ac:dyDescent="0.35">
      <c r="A3" t="s">
        <v>126</v>
      </c>
      <c r="B3">
        <v>0.7</v>
      </c>
      <c r="C3">
        <v>0.2</v>
      </c>
      <c r="D3" t="s">
        <v>43</v>
      </c>
      <c r="E3">
        <v>0.14000000000000001</v>
      </c>
      <c r="F3" t="s">
        <v>127</v>
      </c>
      <c r="G3" t="s">
        <v>128</v>
      </c>
      <c r="H3" t="s">
        <v>129</v>
      </c>
      <c r="I3" t="s">
        <v>113</v>
      </c>
    </row>
    <row r="4" spans="1:9" x14ac:dyDescent="0.35">
      <c r="C4">
        <v>0.35</v>
      </c>
      <c r="D4" t="s">
        <v>44</v>
      </c>
      <c r="E4">
        <v>0.245</v>
      </c>
      <c r="F4" t="s">
        <v>130</v>
      </c>
      <c r="G4" t="s">
        <v>131</v>
      </c>
      <c r="H4" t="s">
        <v>132</v>
      </c>
      <c r="I4" t="s">
        <v>133</v>
      </c>
    </row>
    <row r="5" spans="1:9" x14ac:dyDescent="0.35">
      <c r="C5">
        <v>0.35</v>
      </c>
      <c r="D5" t="s">
        <v>39</v>
      </c>
      <c r="E5">
        <v>0.245</v>
      </c>
      <c r="F5" t="s">
        <v>134</v>
      </c>
      <c r="G5" t="s">
        <v>135</v>
      </c>
      <c r="H5" t="s">
        <v>136</v>
      </c>
      <c r="I5" t="s">
        <v>137</v>
      </c>
    </row>
    <row r="6" spans="1:9" x14ac:dyDescent="0.35">
      <c r="C6">
        <v>0.1</v>
      </c>
      <c r="D6" t="s">
        <v>45</v>
      </c>
      <c r="E6">
        <v>7.0000000000000007E-2</v>
      </c>
      <c r="F6" t="s">
        <v>138</v>
      </c>
      <c r="G6" t="s">
        <v>139</v>
      </c>
      <c r="H6" t="s">
        <v>140</v>
      </c>
      <c r="I6" t="s">
        <v>141</v>
      </c>
    </row>
    <row r="7" spans="1:9" x14ac:dyDescent="0.35">
      <c r="A7" t="s">
        <v>142</v>
      </c>
      <c r="B7">
        <v>0.1</v>
      </c>
      <c r="C7">
        <v>1</v>
      </c>
      <c r="D7" t="s">
        <v>40</v>
      </c>
      <c r="E7">
        <v>0.1</v>
      </c>
      <c r="F7" t="s">
        <v>143</v>
      </c>
      <c r="G7" t="s">
        <v>144</v>
      </c>
      <c r="H7" t="s">
        <v>145</v>
      </c>
      <c r="I7" t="s">
        <v>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B218E-0FFF-43B9-8779-D7A8ED5E3836}">
  <dimension ref="A1:G20"/>
  <sheetViews>
    <sheetView workbookViewId="0">
      <selection activeCell="D6" sqref="D6"/>
    </sheetView>
  </sheetViews>
  <sheetFormatPr defaultColWidth="10.5" defaultRowHeight="13.5" x14ac:dyDescent="0.35"/>
  <cols>
    <col min="1" max="1" width="30.9375" customWidth="1"/>
    <col min="2" max="2" width="20.625" customWidth="1"/>
    <col min="3" max="4" width="20.5" customWidth="1"/>
    <col min="5" max="5" width="20.625" customWidth="1"/>
  </cols>
  <sheetData>
    <row r="1" spans="1:7" x14ac:dyDescent="0.35">
      <c r="A1" t="s">
        <v>46</v>
      </c>
    </row>
    <row r="3" spans="1:7" ht="15.75" x14ac:dyDescent="0.5">
      <c r="A3" s="24" t="s">
        <v>41</v>
      </c>
      <c r="B3" s="25">
        <v>4</v>
      </c>
      <c r="C3" s="25">
        <v>6</v>
      </c>
      <c r="D3" s="25">
        <v>8</v>
      </c>
      <c r="E3" s="25">
        <v>10</v>
      </c>
      <c r="F3" s="26" t="s">
        <v>47</v>
      </c>
      <c r="G3" s="24" t="s">
        <v>41</v>
      </c>
    </row>
    <row r="4" spans="1:7" ht="47.25" x14ac:dyDescent="0.5">
      <c r="A4" s="27"/>
      <c r="B4" s="28" t="s">
        <v>48</v>
      </c>
      <c r="C4" s="28" t="s">
        <v>49</v>
      </c>
      <c r="D4" s="28" t="s">
        <v>50</v>
      </c>
      <c r="E4" s="28" t="s">
        <v>51</v>
      </c>
      <c r="F4" s="29"/>
      <c r="G4" s="27"/>
    </row>
    <row r="5" spans="1:7" ht="15.75" x14ac:dyDescent="0.5">
      <c r="A5" s="24" t="s">
        <v>52</v>
      </c>
      <c r="B5" s="30"/>
      <c r="C5" s="30"/>
      <c r="D5" s="30"/>
      <c r="E5" s="30"/>
      <c r="F5" s="31"/>
      <c r="G5" s="24"/>
    </row>
    <row r="6" spans="1:7" ht="121.5" x14ac:dyDescent="0.35">
      <c r="A6" s="32" t="s">
        <v>53</v>
      </c>
      <c r="B6" s="33" t="s">
        <v>54</v>
      </c>
      <c r="C6" s="33" t="s">
        <v>55</v>
      </c>
      <c r="D6" s="33" t="s">
        <v>56</v>
      </c>
      <c r="E6" s="33" t="s">
        <v>57</v>
      </c>
      <c r="F6" s="34">
        <v>0.05</v>
      </c>
    </row>
    <row r="7" spans="1:7" ht="81" x14ac:dyDescent="0.35">
      <c r="A7" s="32" t="s">
        <v>58</v>
      </c>
      <c r="B7" s="33" t="s">
        <v>59</v>
      </c>
      <c r="C7" s="33" t="s">
        <v>60</v>
      </c>
      <c r="D7" s="33" t="s">
        <v>61</v>
      </c>
      <c r="E7" s="33" t="s">
        <v>62</v>
      </c>
      <c r="F7" s="34">
        <v>0.1</v>
      </c>
    </row>
    <row r="8" spans="1:7" ht="15.75" x14ac:dyDescent="0.35">
      <c r="A8" s="35" t="s">
        <v>63</v>
      </c>
      <c r="B8" s="36"/>
      <c r="C8" s="36"/>
      <c r="D8" s="36"/>
      <c r="E8" s="36"/>
      <c r="F8" s="34"/>
    </row>
    <row r="9" spans="1:7" ht="162" x14ac:dyDescent="0.35">
      <c r="A9" s="32" t="s">
        <v>64</v>
      </c>
      <c r="B9" s="33" t="s">
        <v>65</v>
      </c>
      <c r="C9" s="33" t="s">
        <v>66</v>
      </c>
      <c r="D9" s="33" t="s">
        <v>67</v>
      </c>
      <c r="E9" s="33" t="s">
        <v>68</v>
      </c>
      <c r="F9" s="34">
        <v>0.2</v>
      </c>
    </row>
    <row r="10" spans="1:7" ht="108" x14ac:dyDescent="0.35">
      <c r="A10" s="32" t="s">
        <v>69</v>
      </c>
      <c r="B10" s="33" t="s">
        <v>70</v>
      </c>
      <c r="C10" s="33" t="s">
        <v>71</v>
      </c>
      <c r="D10" s="33" t="s">
        <v>72</v>
      </c>
      <c r="E10" s="33" t="s">
        <v>73</v>
      </c>
      <c r="F10" s="34">
        <v>0.2</v>
      </c>
    </row>
    <row r="11" spans="1:7" ht="121.5" x14ac:dyDescent="0.35">
      <c r="A11" s="32" t="s">
        <v>74</v>
      </c>
      <c r="B11" s="33" t="s">
        <v>75</v>
      </c>
      <c r="C11" s="33" t="s">
        <v>76</v>
      </c>
      <c r="D11" s="33" t="s">
        <v>77</v>
      </c>
      <c r="E11" s="33" t="s">
        <v>78</v>
      </c>
      <c r="F11" s="34">
        <v>0.15</v>
      </c>
    </row>
    <row r="12" spans="1:7" ht="15.75" x14ac:dyDescent="0.35">
      <c r="A12" s="35" t="s">
        <v>79</v>
      </c>
      <c r="B12" s="36"/>
      <c r="C12" s="36"/>
      <c r="D12" s="36"/>
      <c r="E12" s="36"/>
      <c r="F12" s="34"/>
    </row>
    <row r="13" spans="1:7" ht="108" x14ac:dyDescent="0.35">
      <c r="A13" s="32" t="s">
        <v>80</v>
      </c>
      <c r="B13" s="33" t="s">
        <v>81</v>
      </c>
      <c r="C13" s="33" t="s">
        <v>82</v>
      </c>
      <c r="D13" s="33" t="s">
        <v>83</v>
      </c>
      <c r="E13" s="33" t="s">
        <v>84</v>
      </c>
      <c r="F13" s="34">
        <v>0.1</v>
      </c>
    </row>
    <row r="14" spans="1:7" ht="162" x14ac:dyDescent="0.35">
      <c r="A14" s="32" t="s">
        <v>85</v>
      </c>
      <c r="B14" s="33" t="s">
        <v>86</v>
      </c>
      <c r="C14" s="33" t="s">
        <v>87</v>
      </c>
      <c r="D14" s="33" t="s">
        <v>88</v>
      </c>
      <c r="E14" s="33" t="s">
        <v>89</v>
      </c>
      <c r="F14" s="34">
        <v>0.05</v>
      </c>
    </row>
    <row r="15" spans="1:7" ht="15.75" x14ac:dyDescent="0.35">
      <c r="A15" s="35" t="s">
        <v>90</v>
      </c>
      <c r="B15" s="36"/>
      <c r="C15" s="36"/>
      <c r="D15" s="36"/>
      <c r="E15" s="36"/>
      <c r="F15" s="34"/>
    </row>
    <row r="16" spans="1:7" ht="94.5" x14ac:dyDescent="0.35">
      <c r="A16" s="32" t="s">
        <v>91</v>
      </c>
      <c r="B16" s="33" t="s">
        <v>92</v>
      </c>
      <c r="C16" s="33" t="s">
        <v>93</v>
      </c>
      <c r="D16" s="33" t="s">
        <v>94</v>
      </c>
      <c r="E16" s="33" t="s">
        <v>95</v>
      </c>
      <c r="F16" s="34">
        <v>0.05</v>
      </c>
    </row>
    <row r="17" spans="1:7" ht="81" x14ac:dyDescent="0.35">
      <c r="A17" s="32" t="s">
        <v>96</v>
      </c>
      <c r="B17" s="33" t="s">
        <v>97</v>
      </c>
      <c r="C17" s="33" t="s">
        <v>98</v>
      </c>
      <c r="D17" s="33" t="s">
        <v>99</v>
      </c>
      <c r="E17" s="33" t="s">
        <v>100</v>
      </c>
      <c r="F17" s="34">
        <v>0.1</v>
      </c>
    </row>
    <row r="18" spans="1:7" ht="27" x14ac:dyDescent="0.35">
      <c r="A18" s="37" t="s">
        <v>101</v>
      </c>
      <c r="B18" s="80"/>
      <c r="C18" s="80"/>
      <c r="D18" s="80"/>
      <c r="E18" s="80"/>
      <c r="F18" s="38" t="s">
        <v>102</v>
      </c>
      <c r="G18" s="39"/>
    </row>
    <row r="19" spans="1:7" ht="15.75" x14ac:dyDescent="0.5">
      <c r="A19" s="33" t="s">
        <v>103</v>
      </c>
      <c r="B19" s="81"/>
      <c r="C19" s="81"/>
      <c r="D19" s="81"/>
      <c r="E19" s="81"/>
      <c r="F19" s="40"/>
    </row>
    <row r="20" spans="1:7" ht="15.75" x14ac:dyDescent="0.5">
      <c r="A20" s="41" t="s">
        <v>104</v>
      </c>
      <c r="G20" s="42"/>
    </row>
  </sheetData>
  <mergeCells count="2">
    <mergeCell ref="B18:E18"/>
    <mergeCell ref="B19:E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ce4fe9-d1d3-4220-b6f1-576c47bb06e5" xsi:nil="true"/>
    <lcf76f155ced4ddcb4097134ff3c332f xmlns="67db2c90-83c1-4280-937a-21d1b7fdb85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A2CBCFFDE5A2469831FB18AB126C5C" ma:contentTypeVersion="9" ma:contentTypeDescription="Create a new document." ma:contentTypeScope="" ma:versionID="e88c2864c7792a682a4249877cb46461">
  <xsd:schema xmlns:xsd="http://www.w3.org/2001/XMLSchema" xmlns:xs="http://www.w3.org/2001/XMLSchema" xmlns:p="http://schemas.microsoft.com/office/2006/metadata/properties" xmlns:ns2="67db2c90-83c1-4280-937a-21d1b7fdb856" xmlns:ns3="a0ce4fe9-d1d3-4220-b6f1-576c47bb06e5" targetNamespace="http://schemas.microsoft.com/office/2006/metadata/properties" ma:root="true" ma:fieldsID="3ec7ec38f94c750cf9598f2216731490" ns2:_="" ns3:_="">
    <xsd:import namespace="67db2c90-83c1-4280-937a-21d1b7fdb856"/>
    <xsd:import namespace="a0ce4fe9-d1d3-4220-b6f1-576c47bb06e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b2c90-83c1-4280-937a-21d1b7fdb85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b077af7-eccc-41ba-8726-6d08c81cb0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ce4fe9-d1d3-4220-b6f1-576c47bb06e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fd1b4e2-e6c6-4c4d-9a65-8b75b9dcc419}" ma:internalName="TaxCatchAll" ma:showField="CatchAllData" ma:web="a0ce4fe9-d1d3-4220-b6f1-576c47bb06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D223B4-4D33-43A3-9934-15D1D37C1730}">
  <ds:schemaRefs>
    <ds:schemaRef ds:uri="http://schemas.microsoft.com/office/2006/metadata/properties"/>
    <ds:schemaRef ds:uri="http://schemas.microsoft.com/office/infopath/2007/PartnerControls"/>
    <ds:schemaRef ds:uri="a0ce4fe9-d1d3-4220-b6f1-576c47bb06e5"/>
    <ds:schemaRef ds:uri="67db2c90-83c1-4280-937a-21d1b7fdb856"/>
  </ds:schemaRefs>
</ds:datastoreItem>
</file>

<file path=customXml/itemProps2.xml><?xml version="1.0" encoding="utf-8"?>
<ds:datastoreItem xmlns:ds="http://schemas.openxmlformats.org/officeDocument/2006/customXml" ds:itemID="{1F63BDDF-E96C-4F3B-95E9-DD621EEF6F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db2c90-83c1-4280-937a-21d1b7fdb856"/>
    <ds:schemaRef ds:uri="a0ce4fe9-d1d3-4220-b6f1-576c47bb06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368444-0953-4A9E-AE1C-6AF32B4C181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Blad1</vt:lpstr>
      <vt:lpstr>Sheet1</vt:lpstr>
      <vt:lpstr>Sheet3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Kesteren, E. van (Erik-Jan)</cp:lastModifiedBy>
  <cp:revision>1</cp:revision>
  <dcterms:created xsi:type="dcterms:W3CDTF">2023-09-18T08:17:55Z</dcterms:created>
  <dcterms:modified xsi:type="dcterms:W3CDTF">2023-10-26T17:25:27Z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0x010100C5A2CBCFFDE5A2469831FB18AB126C5C</vt:lpwstr>
  </property>
  <property fmtid="{D5CDD505-2E9C-101B-9397-08002B2CF9AE}" pid="3" name="MediaServiceImageTags">
    <vt:lpwstr/>
  </property>
</Properties>
</file>